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asibility Assessment" sheetId="1" state="visible" r:id="rId3"/>
    <sheet name="Cost-Benefit Analysi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8" authorId="0">
      <text>
        <r>
          <rPr>
            <sz val="10"/>
            <rFont val="Arial"/>
            <family val="2"/>
          </rPr>
          <t xml:space="preserve">Payback (months) = total cost ÷ annual benefits × 12, rounded. Low case and high case.</t>
        </r>
      </text>
    </comment>
  </commentList>
</comments>
</file>

<file path=xl/sharedStrings.xml><?xml version="1.0" encoding="utf-8"?>
<sst xmlns="http://schemas.openxmlformats.org/spreadsheetml/2006/main" count="63" uniqueCount="60">
  <si>
    <t xml:space="preserve">Feasibility Study</t>
  </si>
  <si>
    <t xml:space="preserve">Digital Certificate Verification System</t>
  </si>
  <si>
    <t xml:space="preserve">Faculty of Computers and Information, Menoufia University | System Analysis</t>
  </si>
  <si>
    <t xml:space="preserve">1. Feasibility Assessment</t>
  </si>
  <si>
    <t xml:space="preserve">Type</t>
  </si>
  <si>
    <t xml:space="preserve">Proposed Solution / Benefits</t>
  </si>
  <si>
    <t xml:space="preserve">Feasibility Result</t>
  </si>
  <si>
    <t xml:space="preserve">Technical</t>
  </si>
  <si>
    <t xml:space="preserve">- Web-based system with a database (MySQL)
- Unique verification code and QR code per certificate
- Cloud hosting with automatic backups.</t>
  </si>
  <si>
    <t xml:space="preserve">✓ Technically feasible</t>
  </si>
  <si>
    <t xml:space="preserve">Operational</t>
  </si>
  <si>
    <t xml:space="preserve">- Instant self-service verification for employers.
- Admin dashboard to add, update and revoke certificates.
- Reduced staff workload and simple interface with short staff training.</t>
  </si>
  <si>
    <t xml:space="preserve">✓ Operationally feasible</t>
  </si>
  <si>
    <t xml:space="preserve">Economic</t>
  </si>
  <si>
    <t xml:space="preserve">- Saves staff time,paper and printing.
- Reduces forgery-related risk.
- Lower admin costs and long-term efficiency gains.</t>
  </si>
  <si>
    <t xml:space="preserve">✓ Cost-effective</t>
  </si>
  <si>
    <t xml:space="preserve">Legal</t>
  </si>
  <si>
    <t xml:space="preserve">- Role-based access control, encrypted data, minimal data shown on the public page, audit log.
→ comply with data-protection rules (e.g., Egypt Personal Data Protection Law No. 151 of 2020) and university policies.</t>
  </si>
  <si>
    <t xml:space="preserve">✓ Legally feasible</t>
  </si>
  <si>
    <t xml:space="preserve">Time</t>
  </si>
  <si>
    <t xml:space="preserve">- Timeline 3–6 months
(requirements → design → development → testing → deployment).</t>
  </si>
  <si>
    <t xml:space="preserve">✓ Achievable timeline</t>
  </si>
  <si>
    <t xml:space="preserve">2. Cost–Benefit Analysis</t>
  </si>
  <si>
    <t xml:space="preserve">All amounts are estimates in US dollars. Total costs exclude the existing manual-process cost (Administration), which is counted as a yearly saving.</t>
  </si>
  <si>
    <t xml:space="preserve">Blue = hardcoded estimates (edit these); black = formulas.</t>
  </si>
  <si>
    <t xml:space="preserve">Category</t>
  </si>
  <si>
    <t xml:space="preserve">Description</t>
  </si>
  <si>
    <t xml:space="preserve">Estimated Cost – Low ($)</t>
  </si>
  <si>
    <t xml:space="preserve">Estimated Cost – High ($)</t>
  </si>
  <si>
    <t xml:space="preserve">Benefits</t>
  </si>
  <si>
    <t xml:space="preserve">Estimated Value (per year)</t>
  </si>
  <si>
    <t xml:space="preserve">Software</t>
  </si>
  <si>
    <t xml:space="preserve">In-house development (web app, verification page, admin dashboard) or purchase of a license</t>
  </si>
  <si>
    <t xml:space="preserve">Automated verification reduces errors and manual handling</t>
  </si>
  <si>
    <t xml:space="preserve">Hardware &amp; Hosting</t>
  </si>
  <si>
    <t xml:space="preserve">Cloud server/hosting, domain, SSL, backup storage</t>
  </si>
  <si>
    <t xml:space="preserve">Instant online verification; far fewer verification requests handled by staff</t>
  </si>
  <si>
    <t xml:space="preserve">Training</t>
  </si>
  <si>
    <t xml:space="preserve">Training sessions for Student Affairs staff</t>
  </si>
  <si>
    <t xml:space="preserve">Smooth transition and efficient use of the system</t>
  </si>
  <si>
    <t xml:space="preserve">Maintenance</t>
  </si>
  <si>
    <t xml:space="preserve">Annual updates, bug fixes, security patches, hosting renewal</t>
  </si>
  <si>
    <t xml:space="preserve">Ensures system reliability and security; avoids downtime and fraud cases</t>
  </si>
  <si>
    <t xml:space="preserve">Legacy Data Digitization</t>
  </si>
  <si>
    <t xml:space="preserve">Entering previous graduates’ certificate records into the system</t>
  </si>
  <si>
    <t xml:space="preserve">Searchable records; faster retrieval of old certificates</t>
  </si>
  <si>
    <t xml:space="preserve">Administration</t>
  </si>
  <si>
    <t xml:space="preserve">Current manual process (paper letters, printing, courier, staff time) – existing yearly cost</t>
  </si>
  <si>
    <t xml:space="preserve">–</t>
  </si>
  <si>
    <t xml:space="preserve">Eliminated with the system → paperless verification</t>
  </si>
  <si>
    <t xml:space="preserve">User Experience</t>
  </si>
  <si>
    <t xml:space="preserve">Employers and graduates wait days for manual verification</t>
  </si>
  <si>
    <t xml:space="preserve">Verification in seconds; improved satisfaction and trust</t>
  </si>
  <si>
    <t xml:space="preserve">Intangible but high value</t>
  </si>
  <si>
    <t xml:space="preserve">Total</t>
  </si>
  <si>
    <t xml:space="preserve">Summary</t>
  </si>
  <si>
    <t xml:space="preserve">Total Estimated Costs (first year)</t>
  </si>
  <si>
    <t xml:space="preserve">Total Estimated Annual Benefits/Savings</t>
  </si>
  <si>
    <t xml:space="preserve">Payback Period</t>
  </si>
  <si>
    <t xml:space="preserve">Conclusion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</si>
</sst>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;&quot;($&quot;#,##0\);\-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9"/>
      <name val="Arial"/>
      <family val="0"/>
      <charset val="1"/>
    </font>
    <font>
      <b val="true"/>
      <sz val="12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12"/>
      <color rgb="FF1F4E7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2E7D32"/>
      <name val="Arial"/>
      <family val="0"/>
      <charset val="1"/>
    </font>
    <font>
      <b val="true"/>
      <sz val="14"/>
      <color rgb="FF1F4E79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EF3F8"/>
        <bgColor rgb="FFFFFFFF"/>
      </patternFill>
    </fill>
    <fill>
      <patternFill patternType="solid">
        <fgColor rgb="FFD6E2EF"/>
        <bgColor rgb="FFEEF3F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8C4D0"/>
      </left>
      <right style="thin">
        <color rgb="FFB8C4D0"/>
      </right>
      <top style="thin">
        <color rgb="FFB8C4D0"/>
      </top>
      <bottom style="thin">
        <color rgb="FFB8C4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8C4D0"/>
      <rgbColor rgb="FF808080"/>
      <rgbColor rgb="FF9999FF"/>
      <rgbColor rgb="FF993366"/>
      <rgbColor rgb="FFEEF3F8"/>
      <rgbColor rgb="FFCCFFFF"/>
      <rgbColor rgb="FF660066"/>
      <rgbColor rgb="FFFF8080"/>
      <rgbColor rgb="FF0066CC"/>
      <rgbColor rgb="FFD6E2E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2E7D32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78"/>
    <col collapsed="false" customWidth="true" hidden="false" outlineLevel="0" max="3" min="3" style="0" width="28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5" t="s">
        <v>4</v>
      </c>
      <c r="B6" s="5" t="s">
        <v>5</v>
      </c>
      <c r="C6" s="5" t="s">
        <v>6</v>
      </c>
    </row>
    <row r="7" customFormat="false" ht="48" hidden="false" customHeight="true" outlineLevel="0" collapsed="false">
      <c r="A7" s="6" t="s">
        <v>7</v>
      </c>
      <c r="B7" s="7" t="s">
        <v>8</v>
      </c>
      <c r="C7" s="8" t="s">
        <v>9</v>
      </c>
    </row>
    <row r="8" customFormat="false" ht="48" hidden="false" customHeight="true" outlineLevel="0" collapsed="false">
      <c r="A8" s="9" t="s">
        <v>10</v>
      </c>
      <c r="B8" s="10" t="s">
        <v>11</v>
      </c>
      <c r="C8" s="11" t="s">
        <v>12</v>
      </c>
    </row>
    <row r="9" customFormat="false" ht="48" hidden="false" customHeight="true" outlineLevel="0" collapsed="false">
      <c r="A9" s="6" t="s">
        <v>13</v>
      </c>
      <c r="B9" s="7" t="s">
        <v>14</v>
      </c>
      <c r="C9" s="8" t="s">
        <v>15</v>
      </c>
    </row>
    <row r="10" customFormat="false" ht="48" hidden="false" customHeight="true" outlineLevel="0" collapsed="false">
      <c r="A10" s="9" t="s">
        <v>16</v>
      </c>
      <c r="B10" s="10" t="s">
        <v>17</v>
      </c>
      <c r="C10" s="11" t="s">
        <v>18</v>
      </c>
    </row>
    <row r="11" customFormat="false" ht="33.75" hidden="false" customHeight="true" outlineLevel="0" collapsed="false">
      <c r="A11" s="6" t="s">
        <v>19</v>
      </c>
      <c r="B11" s="7" t="s">
        <v>20</v>
      </c>
      <c r="C11" s="8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50"/>
    <col collapsed="false" customWidth="true" hidden="false" outlineLevel="0" max="4" min="3" style="0" width="16"/>
    <col collapsed="false" customWidth="true" hidden="false" outlineLevel="0" max="5" min="5" style="0" width="50"/>
    <col collapsed="false" customWidth="true" hidden="false" outlineLevel="0" max="6" min="6" style="0" width="22"/>
  </cols>
  <sheetData>
    <row r="1" customFormat="false" ht="17.35" hidden="false" customHeight="false" outlineLevel="0" collapsed="false">
      <c r="A1" s="12" t="s">
        <v>22</v>
      </c>
    </row>
    <row r="2" customFormat="false" ht="15" hidden="false" customHeight="false" outlineLevel="0" collapsed="false">
      <c r="A2" s="13" t="s">
        <v>23</v>
      </c>
    </row>
    <row r="3" customFormat="false" ht="15" hidden="false" customHeight="false" outlineLevel="0" collapsed="false">
      <c r="A3" s="13" t="s">
        <v>24</v>
      </c>
    </row>
    <row r="5" customFormat="false" ht="31.5" hidden="false" customHeight="true" outlineLevel="0" collapsed="false">
      <c r="A5" s="5" t="s">
        <v>25</v>
      </c>
      <c r="B5" s="5" t="s">
        <v>26</v>
      </c>
      <c r="C5" s="5" t="s">
        <v>27</v>
      </c>
      <c r="D5" s="5" t="s">
        <v>28</v>
      </c>
      <c r="E5" s="5" t="s">
        <v>29</v>
      </c>
      <c r="F5" s="5" t="s">
        <v>30</v>
      </c>
    </row>
    <row r="6" customFormat="false" ht="31.5" hidden="false" customHeight="true" outlineLevel="0" collapsed="false">
      <c r="A6" s="6" t="s">
        <v>31</v>
      </c>
      <c r="B6" s="7" t="s">
        <v>32</v>
      </c>
      <c r="C6" s="14" t="n">
        <v>1500</v>
      </c>
      <c r="D6" s="14" t="n">
        <v>4000</v>
      </c>
      <c r="E6" s="7" t="s">
        <v>33</v>
      </c>
      <c r="F6" s="14" t="n">
        <v>2500</v>
      </c>
    </row>
    <row r="7" customFormat="false" ht="31.5" hidden="false" customHeight="true" outlineLevel="0" collapsed="false">
      <c r="A7" s="9" t="s">
        <v>34</v>
      </c>
      <c r="B7" s="10" t="s">
        <v>35</v>
      </c>
      <c r="C7" s="15" t="n">
        <v>150</v>
      </c>
      <c r="D7" s="15" t="n">
        <v>600</v>
      </c>
      <c r="E7" s="10" t="s">
        <v>36</v>
      </c>
      <c r="F7" s="15" t="n">
        <v>600</v>
      </c>
    </row>
    <row r="8" customFormat="false" ht="31.5" hidden="false" customHeight="true" outlineLevel="0" collapsed="false">
      <c r="A8" s="6" t="s">
        <v>37</v>
      </c>
      <c r="B8" s="7" t="s">
        <v>38</v>
      </c>
      <c r="C8" s="14" t="n">
        <v>300</v>
      </c>
      <c r="D8" s="14" t="n">
        <v>800</v>
      </c>
      <c r="E8" s="7" t="s">
        <v>39</v>
      </c>
      <c r="F8" s="14" t="n">
        <v>800</v>
      </c>
    </row>
    <row r="9" customFormat="false" ht="31.5" hidden="false" customHeight="true" outlineLevel="0" collapsed="false">
      <c r="A9" s="9" t="s">
        <v>40</v>
      </c>
      <c r="B9" s="10" t="s">
        <v>41</v>
      </c>
      <c r="C9" s="15" t="n">
        <v>700</v>
      </c>
      <c r="D9" s="15" t="n">
        <v>1200</v>
      </c>
      <c r="E9" s="10" t="s">
        <v>42</v>
      </c>
      <c r="F9" s="15" t="n">
        <v>1500</v>
      </c>
    </row>
    <row r="10" customFormat="false" ht="31.5" hidden="false" customHeight="true" outlineLevel="0" collapsed="false">
      <c r="A10" s="6" t="s">
        <v>43</v>
      </c>
      <c r="B10" s="7" t="s">
        <v>44</v>
      </c>
      <c r="C10" s="14" t="n">
        <v>600</v>
      </c>
      <c r="D10" s="14" t="n">
        <v>1500</v>
      </c>
      <c r="E10" s="7" t="s">
        <v>45</v>
      </c>
      <c r="F10" s="14" t="n">
        <v>700</v>
      </c>
    </row>
    <row r="11" customFormat="false" ht="31.5" hidden="false" customHeight="true" outlineLevel="0" collapsed="false">
      <c r="A11" s="9" t="s">
        <v>46</v>
      </c>
      <c r="B11" s="10" t="s">
        <v>47</v>
      </c>
      <c r="C11" s="16" t="s">
        <v>48</v>
      </c>
      <c r="D11" s="16" t="s">
        <v>48</v>
      </c>
      <c r="E11" s="10" t="s">
        <v>49</v>
      </c>
      <c r="F11" s="15" t="n">
        <v>1200</v>
      </c>
    </row>
    <row r="12" customFormat="false" ht="31.5" hidden="false" customHeight="true" outlineLevel="0" collapsed="false">
      <c r="A12" s="6" t="s">
        <v>50</v>
      </c>
      <c r="B12" s="7" t="s">
        <v>51</v>
      </c>
      <c r="C12" s="17" t="s">
        <v>48</v>
      </c>
      <c r="D12" s="17" t="s">
        <v>48</v>
      </c>
      <c r="E12" s="7" t="s">
        <v>52</v>
      </c>
      <c r="F12" s="17" t="s">
        <v>53</v>
      </c>
    </row>
    <row r="13" customFormat="false" ht="21.75" hidden="false" customHeight="true" outlineLevel="0" collapsed="false">
      <c r="A13" s="18" t="s">
        <v>54</v>
      </c>
      <c r="B13" s="18"/>
      <c r="C13" s="19" t="n">
        <f aca="false">SUM(C6:C12)</f>
        <v>3250</v>
      </c>
      <c r="D13" s="19" t="n">
        <f aca="false">SUM(D6:D12)</f>
        <v>8100</v>
      </c>
      <c r="E13" s="18"/>
      <c r="F13" s="19" t="n">
        <f aca="false">SUM(F6:F12)</f>
        <v>7300</v>
      </c>
    </row>
    <row r="15" customFormat="false" ht="15" hidden="false" customHeight="false" outlineLevel="0" collapsed="false">
      <c r="A15" s="4" t="s">
        <v>55</v>
      </c>
    </row>
    <row r="16" customFormat="false" ht="21.75" hidden="false" customHeight="true" outlineLevel="0" collapsed="false">
      <c r="A16" s="9" t="s">
        <v>56</v>
      </c>
      <c r="B16" s="9"/>
      <c r="C16" s="6" t="str">
        <f aca="false">"$"&amp;TEXT(C13,"#,##0")&amp;" – $"&amp;TEXT(D13,"#,##0")</f>
        <v>$3,250 – $8,100</v>
      </c>
      <c r="D16" s="6"/>
      <c r="E16" s="6"/>
      <c r="F16" s="6"/>
    </row>
    <row r="17" customFormat="false" ht="21.75" hidden="false" customHeight="true" outlineLevel="0" collapsed="false">
      <c r="A17" s="9" t="s">
        <v>57</v>
      </c>
      <c r="B17" s="9"/>
      <c r="C17" s="6" t="str">
        <f aca="false">"$"&amp;TEXT(F13,"#,##0")</f>
        <v>$7,300</v>
      </c>
      <c r="D17" s="6"/>
      <c r="E17" s="6"/>
      <c r="F17" s="6"/>
    </row>
    <row r="18" customFormat="false" ht="21.75" hidden="false" customHeight="true" outlineLevel="0" collapsed="false">
      <c r="A18" s="9" t="s">
        <v>58</v>
      </c>
      <c r="B18" s="9"/>
      <c r="C18" s="6" t="str">
        <f aca="false">ROUND(C13/F13*12,0)&amp;" - "&amp;ROUND(D13/F13*12,0)&amp;" months"</f>
        <v>5 - 13 months</v>
      </c>
      <c r="D18" s="6"/>
      <c r="E18" s="6"/>
      <c r="F18" s="6"/>
    </row>
    <row r="19" customFormat="false" ht="33.75" hidden="false" customHeight="true" outlineLevel="0" collapsed="false">
      <c r="A19" s="9" t="s">
        <v>59</v>
      </c>
      <c r="B19" s="9"/>
      <c r="C19" s="7" t="str">
        <f aca="false">"The Digital Certificate Verification System is economically feasible: the investment is recovered in "&amp;ROUND(C13/F13*12,0)&amp;" - "&amp;ROUND(D13/F13*12,0)&amp;" months, with clear long-term value."</f>
        <v>The Digital Certificate Verification System is economically feasible: the investment is recovered in 5 - 13 months, with clear long-term value.</v>
      </c>
      <c r="D19" s="7"/>
      <c r="E19" s="7"/>
      <c r="F19" s="7"/>
    </row>
  </sheetData>
  <mergeCells count="9">
    <mergeCell ref="A13:B13"/>
    <mergeCell ref="A16:B16"/>
    <mergeCell ref="C16:F16"/>
    <mergeCell ref="A17:B17"/>
    <mergeCell ref="C17:F17"/>
    <mergeCell ref="A18:B18"/>
    <mergeCell ref="C18:F18"/>
    <mergeCell ref="A19:B19"/>
    <mergeCell ref="C19:F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2026-10-24T22:11:56Z</dcterms:created>
  <dc:creator>openpyxl</dc:creator>
  <dc:description/>
  <dc:language>en-US</dc:language>
  <cp:lastModifiedBy/>
  <dcterms:modified xsi:type="dcterms:W3CDTF">2026-10-24T22:11:56Z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