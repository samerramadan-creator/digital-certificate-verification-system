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 tabRatio="500" activeTab="1"/>
  </bookViews>
  <sheets>
    <sheet name="Feasibility Study" sheetId="1" r:id="rId1"/>
    <sheet name="Cost-Benefit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<sst xmlns="http://schemas.openxmlformats.org/spreadsheetml/2006/main" count="68" uniqueCount="65">
  <si>
    <t>Feasibility Study – Digital Certificate Verification System</t>
  </si>
  <si>
    <t>Faculty of Computers and Information, Menoufia University | System Analysis &amp; Design Project</t>
  </si>
  <si>
    <t>Type</t>
  </si>
  <si>
    <t>Current Situation / Considerations</t>
  </si>
  <si>
    <t>Proposed Solution / Benefits</t>
  </si>
  <si>
    <t>Feasibility Result</t>
  </si>
  <si>
    <t>Technical</t>
  </si>
  <si>
    <t>Certificates are verified manually (paper letters, phone calls); no central digital record; no real-time validation; easy to forge.</t>
  </si>
  <si>
    <t>Web-based system with a database (MySQL/PostgreSQL); unique verification code and QR code per certificate; hash-based tamper detection; cloud hosting with automatic backups.</t>
  </si>
  <si>
    <r>
      <rPr>
        <sz val="10"/>
        <rFont val="Times New Roman"/>
        <charset val="1"/>
      </rPr>
      <t>✅</t>
    </r>
    <r>
      <rPr>
        <sz val="10"/>
        <rFont val="Arial"/>
        <charset val="1"/>
      </rPr>
      <t xml:space="preserve"> Technically feasible</t>
    </r>
  </si>
  <si>
    <t>Operational</t>
  </si>
  <si>
    <t>Verification requests are repetitive and time-consuming for Student Affairs staff; employers cannot verify certificates themselves; staff may resist changing the routine.</t>
  </si>
  <si>
    <t>Instant self-service verification for employers; admin dashboard to add, update and revoke certificates; reduced staff workload; simple interface with short staff training.</t>
  </si>
  <si>
    <t>✅ Operationally feasible</t>
  </si>
  <si>
    <t>Economic</t>
  </si>
  <si>
    <t>Cost of software development, hosting, training, maintenance and digitizing legacy records (see Cost-Benefit Analysis sheet).</t>
  </si>
  <si>
    <t>Saves staff time, paper and printing; reduces forgery-related risk; lower admin costs and long-term efficiency gains.</t>
  </si>
  <si>
    <t>✅ Cost-effective</t>
  </si>
  <si>
    <t>Legal</t>
  </si>
  <si>
    <t>Graduate personal data must be protected; certificate records must stay accurate and officially valid.</t>
  </si>
  <si>
    <t>Role-based access control, encrypted data, minimal data shown on the public page, audit log; comply with data-protection regulations (e.g., Egypt Personal Data Protection Law No. 151 of 2020) and university policies.</t>
  </si>
  <si>
    <t>✅ Legally feasible</t>
  </si>
  <si>
    <t>Schedule</t>
  </si>
  <si>
    <t>Manual processes delay verification and reporting.</t>
  </si>
  <si>
    <t>Estimated timeline 3–6 months (requirements → design → development → testing → deployment).</t>
  </si>
  <si>
    <t>✅ Achievable timeline</t>
  </si>
  <si>
    <t>Cost–Benefit Analysis – Digital Certificate Verification System</t>
  </si>
  <si>
    <t>Blue numbers are estimates (USD) and can be edited; totals and the summary update automatically.</t>
  </si>
  <si>
    <t>Category</t>
  </si>
  <si>
    <t>Description</t>
  </si>
  <si>
    <t>Estimated Cost – Low ($)</t>
  </si>
  <si>
    <t>Estimated Cost – High ($)</t>
  </si>
  <si>
    <t>Benefits</t>
  </si>
  <si>
    <t>Estimated Value (per year)</t>
  </si>
  <si>
    <t>Software</t>
  </si>
  <si>
    <t>In-house development (web app, verification page, admin dashboard) or purchase of a license</t>
  </si>
  <si>
    <t>Automated verification reduces errors and manual handling</t>
  </si>
  <si>
    <t>Hardware &amp; Hosting</t>
  </si>
  <si>
    <t>Cloud server/hosting, domain, SSL, backup storage</t>
  </si>
  <si>
    <t>Instant online verification; far fewer verification requests handled by staff</t>
  </si>
  <si>
    <t>Training</t>
  </si>
  <si>
    <t>Training sessions for Student Affairs staff</t>
  </si>
  <si>
    <t>Smooth transition and efficient use of the system</t>
  </si>
  <si>
    <t>Maintenance</t>
  </si>
  <si>
    <t>Annual updates, bug fixes, security patches, hosting renewal</t>
  </si>
  <si>
    <t>Ensures system reliability and security; avoids downtime and fraud cases</t>
  </si>
  <si>
    <t>Legacy Data Digitization</t>
  </si>
  <si>
    <t>Entering previous graduates’ certificate records into the system</t>
  </si>
  <si>
    <t>Searchable records; faster retrieval of old certificates</t>
  </si>
  <si>
    <t>Administration</t>
  </si>
  <si>
    <t>Current manual process (paper letters, printing, courier, staff time) – existing yearly cost</t>
  </si>
  <si>
    <t>–</t>
  </si>
  <si>
    <t>Eliminated with the system → paperless verification</t>
  </si>
  <si>
    <t>User Experience</t>
  </si>
  <si>
    <t>Employers and graduates wait days for manual verification</t>
  </si>
  <si>
    <t>Verification in seconds; improved satisfaction and trust</t>
  </si>
  <si>
    <t>Intangible but high value</t>
  </si>
  <si>
    <t>Total</t>
  </si>
  <si>
    <t>Summary</t>
  </si>
  <si>
    <t>Total Estimated Costs (first year)</t>
  </si>
  <si>
    <t>Total Estimated Annual Benefits/Savings</t>
  </si>
  <si>
    <t>Payback Period</t>
  </si>
  <si>
    <t>within 1 year</t>
  </si>
  <si>
    <t>Conclusion</t>
  </si>
  <si>
    <t>The Digital Certificate Verification System is economically feasible: the investment is recovered in 1 year, with clear long-term value.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</si>
</sst>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&quot;$&quot;#,##0;&quot;($&quot;#,##0\);\-"/>
  </numFmts>
  <fonts count="32">
    <font>
      <sz val="11"/>
      <color theme="1"/>
      <name val="Calibri"/>
      <charset val="1"/>
    </font>
    <font>
      <b/>
      <sz val="14"/>
      <color rgb="FF1F4E78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2"/>
      <color rgb="FF1F4E78"/>
      <name val="Arial"/>
      <charset val="1"/>
    </font>
    <font>
      <sz val="10"/>
      <name val="Arial"/>
      <charset val="1"/>
    </font>
    <font>
      <sz val="10"/>
      <name val="Times New Roman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Border="0" applyAlignment="0" applyProtection="0"/>
    <xf numFmtId="44" fontId="11" fillId="0" borderId="0" applyBorder="0" applyAlignment="0" applyProtection="0"/>
    <xf numFmtId="9" fontId="11" fillId="0" borderId="0" applyBorder="0" applyAlignment="0" applyProtection="0"/>
    <xf numFmtId="41" fontId="11" fillId="0" borderId="0" applyBorder="0" applyAlignment="0" applyProtection="0"/>
    <xf numFmtId="42" fontId="11" fillId="0" borderId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176" fontId="7" fillId="4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2F2F2"/>
      <rgbColor rgb="00DDEB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pane ySplit="4" topLeftCell="A5" activePane="bottomLeft" state="frozen"/>
      <selection/>
      <selection pane="bottomLeft" activeCell="C14" sqref="C14"/>
    </sheetView>
  </sheetViews>
  <sheetFormatPr defaultColWidth="8.67619047619048" defaultRowHeight="15" outlineLevelCol="3"/>
  <cols>
    <col min="1" max="1" width="14" customWidth="1"/>
    <col min="2" max="2" width="105.714285714286" customWidth="1"/>
    <col min="3" max="3" width="87.8571428571429" customWidth="1"/>
    <col min="4" max="4" width="20.4285714285714" customWidth="1"/>
  </cols>
  <sheetData>
    <row r="1" ht="18" spans="1:4">
      <c r="A1" s="1" t="s">
        <v>0</v>
      </c>
    </row>
    <row r="2" spans="1:4">
      <c r="A2" s="2" t="s">
        <v>1</v>
      </c>
    </row>
    <row r="4" ht="31.5" customHeight="1" spans="1:4">
      <c r="A4" s="3" t="s">
        <v>2</v>
      </c>
      <c r="B4" s="3" t="s">
        <v>3</v>
      </c>
      <c r="C4" s="3" t="s">
        <v>4</v>
      </c>
      <c r="D4" s="3" t="s">
        <v>5</v>
      </c>
    </row>
    <row r="5" ht="51" customHeight="1" spans="1:4">
      <c r="A5" s="18" t="s">
        <v>6</v>
      </c>
      <c r="B5" s="19" t="s">
        <v>7</v>
      </c>
      <c r="C5" s="19" t="s">
        <v>8</v>
      </c>
      <c r="D5" s="20" t="s">
        <v>9</v>
      </c>
    </row>
    <row r="6" ht="66" customHeight="1" spans="1:4">
      <c r="A6" s="21" t="s">
        <v>10</v>
      </c>
      <c r="B6" s="22" t="s">
        <v>11</v>
      </c>
      <c r="C6" s="22" t="s">
        <v>12</v>
      </c>
      <c r="D6" s="22" t="s">
        <v>13</v>
      </c>
    </row>
    <row r="7" ht="51" customHeight="1" spans="1:4">
      <c r="A7" s="18" t="s">
        <v>14</v>
      </c>
      <c r="B7" s="19" t="s">
        <v>15</v>
      </c>
      <c r="C7" s="19" t="s">
        <v>16</v>
      </c>
      <c r="D7" s="19" t="s">
        <v>17</v>
      </c>
    </row>
    <row r="8" ht="66" customHeight="1" spans="1:4">
      <c r="A8" s="21" t="s">
        <v>18</v>
      </c>
      <c r="B8" s="22" t="s">
        <v>19</v>
      </c>
      <c r="C8" s="22" t="s">
        <v>20</v>
      </c>
      <c r="D8" s="22" t="s">
        <v>21</v>
      </c>
    </row>
    <row r="9" ht="36" customHeight="1" spans="1:4">
      <c r="A9" s="18" t="s">
        <v>22</v>
      </c>
      <c r="B9" s="19" t="s">
        <v>23</v>
      </c>
      <c r="C9" s="19" t="s">
        <v>24</v>
      </c>
      <c r="D9" s="19" t="s">
        <v>25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pane ySplit="4" topLeftCell="A5" activePane="bottomLeft" state="frozen"/>
      <selection/>
      <selection pane="bottomLeft" activeCell="B18" sqref="B18:E18"/>
    </sheetView>
  </sheetViews>
  <sheetFormatPr defaultColWidth="8.67619047619048" defaultRowHeight="15" outlineLevelCol="5"/>
  <cols>
    <col min="1" max="1" width="28.8571428571429" customWidth="1"/>
    <col min="2" max="2" width="80.7142857142857" customWidth="1"/>
    <col min="3" max="4" width="18" customWidth="1"/>
    <col min="5" max="5" width="66.8571428571429" customWidth="1"/>
    <col min="6" max="6" width="24" customWidth="1"/>
  </cols>
  <sheetData>
    <row r="1" ht="18" spans="1:6">
      <c r="A1" s="1" t="s">
        <v>26</v>
      </c>
    </row>
    <row r="2" spans="1:6">
      <c r="A2" s="2" t="s">
        <v>27</v>
      </c>
    </row>
    <row r="4" ht="31.5" customHeight="1" spans="1:6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</row>
    <row r="5" ht="36" customHeight="1" spans="1:6">
      <c r="A5" s="4" t="s">
        <v>34</v>
      </c>
      <c r="B5" s="5" t="s">
        <v>35</v>
      </c>
      <c r="C5" s="6">
        <v>1500</v>
      </c>
      <c r="D5" s="6">
        <v>4000</v>
      </c>
      <c r="E5" s="5" t="s">
        <v>36</v>
      </c>
      <c r="F5" s="6">
        <v>2500</v>
      </c>
    </row>
    <row r="6" ht="36" customHeight="1" spans="1:6">
      <c r="A6" s="7" t="s">
        <v>37</v>
      </c>
      <c r="B6" s="8" t="s">
        <v>38</v>
      </c>
      <c r="C6" s="9">
        <v>150</v>
      </c>
      <c r="D6" s="9">
        <v>600</v>
      </c>
      <c r="E6" s="8" t="s">
        <v>39</v>
      </c>
      <c r="F6" s="9">
        <v>600</v>
      </c>
    </row>
    <row r="7" ht="21.75" customHeight="1" spans="1:6">
      <c r="A7" s="4" t="s">
        <v>40</v>
      </c>
      <c r="B7" s="5" t="s">
        <v>41</v>
      </c>
      <c r="C7" s="6">
        <v>300</v>
      </c>
      <c r="D7" s="6">
        <v>800</v>
      </c>
      <c r="E7" s="5" t="s">
        <v>42</v>
      </c>
      <c r="F7" s="6">
        <v>800</v>
      </c>
    </row>
    <row r="8" ht="36" customHeight="1" spans="1:6">
      <c r="A8" s="7" t="s">
        <v>43</v>
      </c>
      <c r="B8" s="8" t="s">
        <v>44</v>
      </c>
      <c r="C8" s="9">
        <v>700</v>
      </c>
      <c r="D8" s="9">
        <v>1200</v>
      </c>
      <c r="E8" s="8" t="s">
        <v>45</v>
      </c>
      <c r="F8" s="9">
        <v>1500</v>
      </c>
    </row>
    <row r="9" ht="36" customHeight="1" spans="1:6">
      <c r="A9" s="4" t="s">
        <v>46</v>
      </c>
      <c r="B9" s="5" t="s">
        <v>47</v>
      </c>
      <c r="C9" s="6">
        <v>600</v>
      </c>
      <c r="D9" s="6">
        <v>1500</v>
      </c>
      <c r="E9" s="5" t="s">
        <v>48</v>
      </c>
      <c r="F9" s="6">
        <v>700</v>
      </c>
    </row>
    <row r="10" ht="36" customHeight="1" spans="1:6">
      <c r="A10" s="7" t="s">
        <v>49</v>
      </c>
      <c r="B10" s="8" t="s">
        <v>50</v>
      </c>
      <c r="C10" s="10" t="s">
        <v>51</v>
      </c>
      <c r="D10" s="10" t="s">
        <v>51</v>
      </c>
      <c r="E10" s="8" t="s">
        <v>52</v>
      </c>
      <c r="F10" s="9">
        <v>1200</v>
      </c>
    </row>
    <row r="11" ht="36" customHeight="1" spans="1:6">
      <c r="A11" s="4" t="s">
        <v>53</v>
      </c>
      <c r="B11" s="5" t="s">
        <v>54</v>
      </c>
      <c r="C11" s="11" t="s">
        <v>51</v>
      </c>
      <c r="D11" s="11" t="s">
        <v>51</v>
      </c>
      <c r="E11" s="5" t="s">
        <v>55</v>
      </c>
      <c r="F11" s="11" t="s">
        <v>56</v>
      </c>
    </row>
    <row r="12" spans="1:6">
      <c r="A12" s="12" t="s">
        <v>57</v>
      </c>
      <c r="B12" s="12"/>
      <c r="C12" s="13">
        <f>SUM(C5:C11)</f>
        <v>3250</v>
      </c>
      <c r="D12" s="13">
        <f>SUM(D5:D11)</f>
        <v>8100</v>
      </c>
      <c r="E12" s="12"/>
      <c r="F12" s="13">
        <f>SUM(F5:F11)</f>
        <v>7300</v>
      </c>
    </row>
    <row r="14" ht="15.75" spans="1:6">
      <c r="A14" s="14" t="s">
        <v>58</v>
      </c>
    </row>
    <row r="15" spans="1:6">
      <c r="A15" s="15" t="s">
        <v>59</v>
      </c>
      <c r="B15" s="16" t="str">
        <f>"$"&amp;TEXT(C12,"#,##0")&amp;" – $"&amp;TEXT(D12,"#,##0")</f>
        <v>$3,250 – $8,100</v>
      </c>
    </row>
    <row r="16" ht="25.5" spans="1:6">
      <c r="A16" s="15" t="s">
        <v>60</v>
      </c>
      <c r="B16" s="16" t="str">
        <f>"$"&amp;TEXT(F12,"#,##0")</f>
        <v>$7,300</v>
      </c>
    </row>
    <row r="17" spans="1:5">
      <c r="A17" s="15" t="s">
        <v>61</v>
      </c>
      <c r="B17" s="16" t="s">
        <v>62</v>
      </c>
    </row>
    <row r="18" ht="33.75" customHeight="1" spans="1:5">
      <c r="A18" s="15" t="s">
        <v>63</v>
      </c>
      <c r="B18" s="17" t="s">
        <v>64</v>
      </c>
      <c r="C18" s="17"/>
      <c r="D18" s="17"/>
      <c r="E18" s="17"/>
    </row>
    <row r="20" spans="1:5">
      <c r="A20" s="2"/>
    </row>
  </sheetData>
  <mergeCells count="1">
    <mergeCell ref="B18:E18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Feasibility Study</vt:lpstr>
      <vt:lpstr>Cost-Benefit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Samer</cp:lastModifiedBy>
  <cp:revision>0</cp:revision>
  <dcterms:created xsi:type="dcterms:W3CDTF">2026-10-03T16:21:00Z</dcterms:created>
  <dcterms:modified xsi:type="dcterms:W3CDTF">2026-10-04T12:32:58Z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1CDFADE3DF1C448B9BECC01F41B75FBF_13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